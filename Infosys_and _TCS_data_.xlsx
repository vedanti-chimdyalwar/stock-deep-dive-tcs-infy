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ar\Documents\INFOSYS-TCS-FINANCIAL-ANALYSIS\"/>
    </mc:Choice>
  </mc:AlternateContent>
  <xr:revisionPtr revIDLastSave="0" documentId="8_{9634822B-99A3-40AB-B8BE-086CD45409B0}" xr6:coauthVersionLast="47" xr6:coauthVersionMax="47" xr10:uidLastSave="{00000000-0000-0000-0000-000000000000}"/>
  <bookViews>
    <workbookView xWindow="-98" yWindow="-98" windowWidth="24196" windowHeight="15196" xr2:uid="{BF201573-6A1F-4FB7-B202-CD6B8973CD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4" i="1"/>
  <c r="N5" i="1"/>
  <c r="M6" i="1"/>
  <c r="M7" i="1"/>
  <c r="M8" i="1"/>
  <c r="M9" i="1"/>
  <c r="M10" i="1"/>
  <c r="M11" i="1"/>
  <c r="M12" i="1"/>
  <c r="M13" i="1"/>
  <c r="M4" i="1"/>
  <c r="L4" i="1"/>
  <c r="L6" i="1"/>
  <c r="L7" i="1"/>
  <c r="L8" i="1"/>
  <c r="L9" i="1"/>
  <c r="L10" i="1"/>
  <c r="L11" i="1"/>
  <c r="L12" i="1"/>
  <c r="L13" i="1"/>
  <c r="L5" i="1"/>
  <c r="M5" i="1"/>
</calcChain>
</file>

<file path=xl/sharedStrings.xml><?xml version="1.0" encoding="utf-8"?>
<sst xmlns="http://schemas.openxmlformats.org/spreadsheetml/2006/main" count="27" uniqueCount="19">
  <si>
    <t>Revenue</t>
  </si>
  <si>
    <t>Net Profit</t>
  </si>
  <si>
    <t>Total Assets</t>
  </si>
  <si>
    <t>Equity Share Capital</t>
  </si>
  <si>
    <t>Current Assets</t>
  </si>
  <si>
    <t>DEBT EQUITY RATIO</t>
  </si>
  <si>
    <t xml:space="preserve">Total debt </t>
  </si>
  <si>
    <t xml:space="preserve">Current Liabilities </t>
  </si>
  <si>
    <t>Current Ratio</t>
  </si>
  <si>
    <t>Earning per share (EPS)</t>
  </si>
  <si>
    <t>P/E RATIO</t>
  </si>
  <si>
    <t>Shareholders' equity</t>
  </si>
  <si>
    <t>Net Profit margin</t>
  </si>
  <si>
    <t>ROA  (%)</t>
  </si>
  <si>
    <t>ROE (%)</t>
  </si>
  <si>
    <t xml:space="preserve">Year  </t>
  </si>
  <si>
    <t>Company</t>
  </si>
  <si>
    <t>INFOSYS ltd.</t>
  </si>
  <si>
    <t>TCS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</si>
</sst>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22222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DEDED"/>
      </left>
      <right style="thin">
        <color rgb="FFEDEDED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" fontId="2" fillId="0" borderId="1" xfId="0" applyNumberFormat="1" applyFont="1" applyBorder="1" applyAlignment="1">
      <alignment horizontal="right" vertical="top" shrinkToFit="1"/>
    </xf>
    <xf numFmtId="4" fontId="3" fillId="0" borderId="0" xfId="0" applyNumberFormat="1" applyFont="1"/>
    <xf numFmtId="4" fontId="4" fillId="0" borderId="0" xfId="0" applyNumberFormat="1" applyFont="1"/>
    <xf numFmtId="0" fontId="4" fillId="0" borderId="0" xfId="0" applyFont="1"/>
    <xf numFmtId="2" fontId="4" fillId="0" borderId="0" xfId="0" applyNumberFormat="1" applyFont="1"/>
    <xf numFmtId="1" fontId="4" fillId="0" borderId="0" xfId="0" applyNumberFormat="1" applyFont="1"/>
    <xf numFmtId="1" fontId="3" fillId="0" borderId="0" xfId="0" applyNumberFormat="1" applyFont="1" applyAlignment="1">
      <alignment horizontal="right" vertical="top"/>
    </xf>
    <xf numFmtId="2" fontId="3" fillId="0" borderId="0" xfId="0" applyNumberFormat="1" applyFont="1"/>
    <xf numFmtId="1" fontId="3" fillId="0" borderId="0" xfId="0" applyNumberFormat="1" applyFont="1"/>
    <xf numFmtId="1" fontId="5" fillId="0" borderId="0" xfId="0" applyNumberFormat="1" applyFont="1"/>
    <xf numFmtId="0" fontId="3" fillId="0" borderId="0" xfId="0" applyFont="1"/>
  </cellXfs>
  <cellStyles count="1">
    <cellStyle name="Normal" xfId="0" builtinId="0"/>
  </cellStyles>
  <dxfs count="17">
    <dxf>
      <font>
        <b val="0"/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F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B67C1-BEC7-4771-8BED-5F46B947B1FA}" name="Table1" displayName="Table1" ref="B3:R13" totalsRowShown="0" headerRowDxfId="16" dataDxfId="15">
  <autoFilter ref="B3:R13" xr:uid="{D4EB67C1-BEC7-4771-8BED-5F46B947B1FA}"/>
  <tableColumns count="17">
    <tableColumn id="1" xr3:uid="{EF80988A-ED41-44BB-820B-833FCD25B108}" name="Company"/>
    <tableColumn id="2" xr3:uid="{6CB5F2D3-1058-4A58-B95D-4A59943C1DD8}" name="Year  "/>
    <tableColumn id="3" xr3:uid="{8B80D35F-E99F-4204-877B-30D5E2BCBF2E}" name="Revenue" dataDxfId="14"/>
    <tableColumn id="4" xr3:uid="{E3BE532D-2213-434E-B6E9-224FDE1951DE}" name="Net Profit" dataDxfId="13"/>
    <tableColumn id="5" xr3:uid="{0F2774A8-E8F7-4D17-9DA0-DBA85992E7EC}" name="Current Liabilities " dataDxfId="12"/>
    <tableColumn id="6" xr3:uid="{77D1F288-550F-4CC8-9D1D-EDCB1E3D6884}" name="Current Assets" dataDxfId="11"/>
    <tableColumn id="7" xr3:uid="{3AAED4DB-D1F5-4B95-85CB-6F293FEA6DA3}" name="Total Assets" dataDxfId="10"/>
    <tableColumn id="8" xr3:uid="{7E64309E-564B-42FA-B2A5-3203ACA84844}" name="Equity Share Capital" dataDxfId="9"/>
    <tableColumn id="9" xr3:uid="{F6982DC8-65CD-405B-82C3-45CC97CB5AB1}" name="Shareholders' equity" dataDxfId="8"/>
    <tableColumn id="10" xr3:uid="{E95E3CB7-0584-4605-98A0-152F7AD2DE04}" name="Total debt " dataDxfId="7"/>
    <tableColumn id="11" xr3:uid="{BCC07477-8A1D-4605-BAC0-6579577A4394}" name="ROA  (%)" dataDxfId="6">
      <calculatedColumnFormula>E4/H4*100</calculatedColumnFormula>
    </tableColumn>
    <tableColumn id="12" xr3:uid="{10670B96-E163-4515-A6C0-118AF1229B86}" name="ROE (%)" dataDxfId="5">
      <calculatedColumnFormula>E4/J4*100</calculatedColumnFormula>
    </tableColumn>
    <tableColumn id="13" xr3:uid="{772E4245-1FB9-4ADE-AB20-5D9E856054B6}" name="Current Ratio" dataDxfId="4">
      <calculatedColumnFormula>G4/F4</calculatedColumnFormula>
    </tableColumn>
    <tableColumn id="14" xr3:uid="{C9C3B309-5EFE-4C5C-A2B1-27B280ADE92A}" name="DEBT EQUITY RATIO" dataDxfId="3"/>
    <tableColumn id="15" xr3:uid="{F734FB60-4BDF-4AA1-8378-7F6B55E96200}" name="Earning per share (EPS)" dataDxfId="2"/>
    <tableColumn id="16" xr3:uid="{23E540A4-093D-4866-AFF6-7099E6FA7969}" name="P/E RATIO" dataDxfId="1"/>
    <tableColumn id="17" xr3:uid="{1F2586DB-6DFF-423A-97C2-74021528DCB6}" name="Net Profit margin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EC13-BD9B-44F9-99B2-E45821C33946}">
  <dimension ref="B3:R45"/>
  <sheetViews>
    <sheetView tabSelected="1" topLeftCell="A2" zoomScale="121" zoomScaleNormal="100" workbookViewId="0">
      <selection activeCell="H20" sqref="H20"/>
    </sheetView>
  </sheetViews>
  <sheetFormatPr defaultRowHeight="14.25" x14ac:dyDescent="0.45"/>
  <cols>
    <col min="2" max="2" width="20.59765625" customWidth="1"/>
    <col min="3" max="4" width="9.6640625" bestFit="1" customWidth="1"/>
    <col min="5" max="5" width="10" customWidth="1"/>
    <col min="6" max="6" width="16.86328125" customWidth="1"/>
    <col min="7" max="7" width="13.796875" customWidth="1"/>
    <col min="8" max="8" width="11.796875" customWidth="1"/>
    <col min="9" max="9" width="18.33203125" customWidth="1"/>
    <col min="10" max="10" width="18.86328125" customWidth="1"/>
    <col min="11" max="11" width="10.86328125" customWidth="1"/>
    <col min="12" max="12" width="9.265625" customWidth="1"/>
    <col min="14" max="14" width="12.9296875" customWidth="1"/>
    <col min="15" max="15" width="18.19921875" customWidth="1"/>
    <col min="16" max="16" width="20.796875" customWidth="1"/>
    <col min="17" max="17" width="10.3984375" customWidth="1"/>
    <col min="18" max="18" width="16.06640625" customWidth="1"/>
  </cols>
  <sheetData>
    <row r="3" spans="2:18" x14ac:dyDescent="0.45">
      <c r="B3" s="1" t="s">
        <v>16</v>
      </c>
      <c r="C3" s="1" t="s">
        <v>15</v>
      </c>
      <c r="D3" s="1" t="s">
        <v>0</v>
      </c>
      <c r="E3" s="1" t="s">
        <v>1</v>
      </c>
      <c r="F3" s="1" t="s">
        <v>7</v>
      </c>
      <c r="G3" s="1" t="s">
        <v>4</v>
      </c>
      <c r="H3" s="1" t="s">
        <v>2</v>
      </c>
      <c r="I3" s="1" t="s">
        <v>3</v>
      </c>
      <c r="J3" s="1" t="s">
        <v>11</v>
      </c>
      <c r="K3" s="1" t="s">
        <v>6</v>
      </c>
      <c r="L3" s="1" t="s">
        <v>13</v>
      </c>
      <c r="M3" s="1" t="s">
        <v>14</v>
      </c>
      <c r="N3" s="1" t="s">
        <v>8</v>
      </c>
      <c r="O3" s="1" t="s">
        <v>5</v>
      </c>
      <c r="P3" s="1" t="s">
        <v>9</v>
      </c>
      <c r="Q3" s="1" t="s">
        <v>10</v>
      </c>
      <c r="R3" s="1" t="s">
        <v>12</v>
      </c>
    </row>
    <row r="4" spans="2:18" x14ac:dyDescent="0.45">
      <c r="B4" t="s">
        <v>17</v>
      </c>
      <c r="C4">
        <v>2026</v>
      </c>
      <c r="D4" s="10">
        <v>182972</v>
      </c>
      <c r="E4" s="10">
        <v>29474</v>
      </c>
      <c r="F4" s="10">
        <v>52322</v>
      </c>
      <c r="G4" s="10">
        <v>103489</v>
      </c>
      <c r="H4" s="10">
        <v>155967</v>
      </c>
      <c r="I4" s="10">
        <v>2024</v>
      </c>
      <c r="J4" s="10">
        <v>92852</v>
      </c>
      <c r="K4" s="10">
        <v>0</v>
      </c>
      <c r="L4" s="3">
        <f>E4/H4*100</f>
        <v>18.897587310136117</v>
      </c>
      <c r="M4" s="3">
        <f>E4/J4*100</f>
        <v>31.742988842458971</v>
      </c>
      <c r="N4" s="3">
        <f>G4/F4</f>
        <v>1.977925155766217</v>
      </c>
      <c r="O4" s="5">
        <v>0</v>
      </c>
      <c r="P4" s="12">
        <v>69.92</v>
      </c>
      <c r="Q4" s="12">
        <v>18.2</v>
      </c>
      <c r="R4" s="12">
        <v>19.62</v>
      </c>
    </row>
    <row r="5" spans="2:18" x14ac:dyDescent="0.45">
      <c r="B5" t="s">
        <v>17</v>
      </c>
      <c r="C5">
        <v>2025</v>
      </c>
      <c r="D5" s="2">
        <v>166590</v>
      </c>
      <c r="E5" s="2">
        <v>26750</v>
      </c>
      <c r="F5" s="10">
        <v>42850</v>
      </c>
      <c r="G5" s="10">
        <v>97099</v>
      </c>
      <c r="H5" s="8">
        <v>148903</v>
      </c>
      <c r="I5" s="8">
        <v>2073</v>
      </c>
      <c r="J5" s="10">
        <v>95818</v>
      </c>
      <c r="K5" s="10">
        <v>0</v>
      </c>
      <c r="L5" s="3">
        <f>E5/H5*100</f>
        <v>17.964715284446921</v>
      </c>
      <c r="M5" s="3">
        <f>E5/J5*100</f>
        <v>27.917510279905656</v>
      </c>
      <c r="N5" s="3">
        <f>G5/F5</f>
        <v>2.2660210035005832</v>
      </c>
      <c r="O5" s="5">
        <v>0</v>
      </c>
      <c r="P5" s="12">
        <v>64.319999999999993</v>
      </c>
      <c r="Q5" s="12">
        <v>23.6</v>
      </c>
      <c r="R5" s="12">
        <v>18.71</v>
      </c>
    </row>
    <row r="6" spans="2:18" x14ac:dyDescent="0.45">
      <c r="B6" t="s">
        <v>17</v>
      </c>
      <c r="C6">
        <v>2024</v>
      </c>
      <c r="D6" s="2">
        <v>158381</v>
      </c>
      <c r="E6" s="2">
        <v>26248</v>
      </c>
      <c r="F6" s="10">
        <v>38794</v>
      </c>
      <c r="G6" s="10">
        <v>89432</v>
      </c>
      <c r="H6" s="8">
        <v>137814</v>
      </c>
      <c r="I6" s="8">
        <v>2071</v>
      </c>
      <c r="J6" s="10">
        <v>88116</v>
      </c>
      <c r="K6" s="10">
        <v>0</v>
      </c>
      <c r="L6" s="3">
        <f t="shared" ref="L6:L13" si="0">E6/H6*100</f>
        <v>19.045960497482113</v>
      </c>
      <c r="M6" s="3">
        <f t="shared" ref="M6:M13" si="1">E6/J6*100</f>
        <v>29.788006718416632</v>
      </c>
      <c r="N6" s="3">
        <f t="shared" ref="N6:N13" si="2">G6/F6</f>
        <v>2.3053049440635149</v>
      </c>
      <c r="O6" s="5">
        <v>0</v>
      </c>
      <c r="P6" s="12">
        <v>63.2</v>
      </c>
      <c r="Q6" s="12">
        <v>25.5</v>
      </c>
      <c r="R6" s="12">
        <v>21.12</v>
      </c>
    </row>
    <row r="7" spans="2:18" x14ac:dyDescent="0.45">
      <c r="B7" t="s">
        <v>17</v>
      </c>
      <c r="C7">
        <v>2023</v>
      </c>
      <c r="D7" s="2">
        <v>149468</v>
      </c>
      <c r="E7" s="2">
        <v>24108</v>
      </c>
      <c r="F7" s="10">
        <v>39186</v>
      </c>
      <c r="G7" s="10">
        <v>70881</v>
      </c>
      <c r="H7" s="8">
        <v>125816</v>
      </c>
      <c r="I7" s="8">
        <v>2069</v>
      </c>
      <c r="J7" s="10">
        <v>75407</v>
      </c>
      <c r="K7" s="10">
        <v>0</v>
      </c>
      <c r="L7" s="3">
        <f t="shared" si="0"/>
        <v>19.161314936097156</v>
      </c>
      <c r="M7" s="3">
        <f t="shared" si="1"/>
        <v>31.970506716883047</v>
      </c>
      <c r="N7" s="3">
        <f t="shared" si="2"/>
        <v>1.8088347879344664</v>
      </c>
      <c r="O7" s="5">
        <v>0</v>
      </c>
      <c r="P7" s="12">
        <v>58.08</v>
      </c>
      <c r="Q7" s="12">
        <v>24.5</v>
      </c>
      <c r="R7" s="12">
        <v>18.760000000000002</v>
      </c>
    </row>
    <row r="8" spans="2:18" x14ac:dyDescent="0.45">
      <c r="B8" t="s">
        <v>17</v>
      </c>
      <c r="C8">
        <v>2022</v>
      </c>
      <c r="D8" s="10">
        <v>123936</v>
      </c>
      <c r="E8" s="10">
        <v>22146</v>
      </c>
      <c r="F8" s="10">
        <v>33603</v>
      </c>
      <c r="G8" s="10">
        <v>67185</v>
      </c>
      <c r="H8" s="10">
        <v>117885</v>
      </c>
      <c r="I8" s="10">
        <v>2098</v>
      </c>
      <c r="J8" s="10">
        <v>75350</v>
      </c>
      <c r="K8" s="10">
        <v>0</v>
      </c>
      <c r="L8" s="3">
        <f t="shared" si="0"/>
        <v>18.786105102430334</v>
      </c>
      <c r="M8" s="3">
        <f t="shared" si="1"/>
        <v>29.390842733908428</v>
      </c>
      <c r="N8" s="3">
        <f t="shared" si="2"/>
        <v>1.9993750557985894</v>
      </c>
      <c r="O8" s="5">
        <v>0</v>
      </c>
      <c r="P8" s="12">
        <v>50.77</v>
      </c>
      <c r="Q8" s="12">
        <v>37.5</v>
      </c>
      <c r="R8" s="12">
        <v>20.43</v>
      </c>
    </row>
    <row r="9" spans="2:18" x14ac:dyDescent="0.45">
      <c r="B9" t="s">
        <v>18</v>
      </c>
      <c r="C9">
        <v>2026</v>
      </c>
      <c r="D9" s="10">
        <v>230974</v>
      </c>
      <c r="E9" s="10">
        <v>49096</v>
      </c>
      <c r="F9" s="10">
        <v>60914</v>
      </c>
      <c r="G9" s="10">
        <v>135705</v>
      </c>
      <c r="H9" s="10">
        <v>182372</v>
      </c>
      <c r="I9" s="10">
        <v>362</v>
      </c>
      <c r="J9" s="10">
        <v>107366</v>
      </c>
      <c r="K9" s="10">
        <v>0</v>
      </c>
      <c r="L9" s="3">
        <f t="shared" si="0"/>
        <v>26.920799245498213</v>
      </c>
      <c r="M9" s="3">
        <f t="shared" si="1"/>
        <v>45.727697781420559</v>
      </c>
      <c r="N9" s="3">
        <f t="shared" si="2"/>
        <v>2.2278129822372525</v>
      </c>
      <c r="O9" s="5">
        <v>0</v>
      </c>
      <c r="P9" s="12">
        <v>136.01</v>
      </c>
      <c r="Q9" s="12">
        <v>16.899999999999999</v>
      </c>
      <c r="R9" s="9">
        <v>22.22</v>
      </c>
    </row>
    <row r="10" spans="2:18" ht="13.5" customHeight="1" x14ac:dyDescent="0.45">
      <c r="B10" t="s">
        <v>18</v>
      </c>
      <c r="C10">
        <v>2025</v>
      </c>
      <c r="D10" s="10">
        <v>224495</v>
      </c>
      <c r="E10" s="11">
        <v>48797</v>
      </c>
      <c r="F10" s="10">
        <v>53001</v>
      </c>
      <c r="G10" s="10">
        <v>123012</v>
      </c>
      <c r="H10" s="10">
        <v>159629</v>
      </c>
      <c r="I10" s="10">
        <v>362</v>
      </c>
      <c r="J10" s="10">
        <v>94756</v>
      </c>
      <c r="K10" s="10">
        <v>0</v>
      </c>
      <c r="L10" s="3">
        <f t="shared" si="0"/>
        <v>30.569006884713929</v>
      </c>
      <c r="M10" s="3">
        <f t="shared" si="1"/>
        <v>51.497530499387899</v>
      </c>
      <c r="N10" s="3">
        <f t="shared" si="2"/>
        <v>2.3209373408048903</v>
      </c>
      <c r="O10" s="5">
        <v>0</v>
      </c>
      <c r="P10" s="12">
        <v>134.19999999999999</v>
      </c>
      <c r="Q10" s="12">
        <v>26.8</v>
      </c>
      <c r="R10" s="12">
        <v>22.36</v>
      </c>
    </row>
    <row r="11" spans="2:18" x14ac:dyDescent="0.45">
      <c r="B11" t="s">
        <v>18</v>
      </c>
      <c r="C11">
        <v>2024</v>
      </c>
      <c r="D11" s="10">
        <v>209632</v>
      </c>
      <c r="E11" s="11">
        <v>46099</v>
      </c>
      <c r="F11" s="8">
        <v>46104</v>
      </c>
      <c r="G11" s="10">
        <v>112984</v>
      </c>
      <c r="H11" s="10">
        <v>146449</v>
      </c>
      <c r="I11" s="10">
        <v>362</v>
      </c>
      <c r="J11" s="10">
        <v>90489</v>
      </c>
      <c r="K11" s="10">
        <v>0</v>
      </c>
      <c r="L11" s="3">
        <f t="shared" si="0"/>
        <v>31.477852358158813</v>
      </c>
      <c r="M11" s="3">
        <f t="shared" si="1"/>
        <v>50.944313673485176</v>
      </c>
      <c r="N11" s="3">
        <f t="shared" si="2"/>
        <v>2.4506333506854068</v>
      </c>
      <c r="O11" s="5">
        <v>0</v>
      </c>
      <c r="P11" s="12">
        <v>126.88</v>
      </c>
      <c r="Q11" s="12">
        <v>31</v>
      </c>
      <c r="R11" s="12">
        <v>21.52</v>
      </c>
    </row>
    <row r="12" spans="2:18" x14ac:dyDescent="0.45">
      <c r="B12" t="s">
        <v>18</v>
      </c>
      <c r="C12">
        <v>2023</v>
      </c>
      <c r="D12" s="10">
        <v>195682</v>
      </c>
      <c r="E12" s="11">
        <v>42303</v>
      </c>
      <c r="F12" s="8">
        <v>43558</v>
      </c>
      <c r="G12" s="10">
        <v>110270</v>
      </c>
      <c r="H12" s="10">
        <v>143651</v>
      </c>
      <c r="I12" s="10">
        <v>366</v>
      </c>
      <c r="J12" s="10">
        <v>90424</v>
      </c>
      <c r="K12" s="10">
        <v>0</v>
      </c>
      <c r="L12" s="3">
        <f t="shared" si="0"/>
        <v>29.448454935921088</v>
      </c>
      <c r="M12" s="3">
        <f t="shared" si="1"/>
        <v>46.782933734406797</v>
      </c>
      <c r="N12" s="3">
        <f t="shared" si="2"/>
        <v>2.5315671059277287</v>
      </c>
      <c r="O12" s="5">
        <v>0</v>
      </c>
      <c r="P12" s="12">
        <v>115.19</v>
      </c>
      <c r="Q12" s="12">
        <v>28.8</v>
      </c>
      <c r="R12" s="12">
        <v>20.54</v>
      </c>
    </row>
    <row r="13" spans="2:18" x14ac:dyDescent="0.45">
      <c r="B13" t="s">
        <v>18</v>
      </c>
      <c r="C13">
        <v>2022</v>
      </c>
      <c r="D13" s="10">
        <v>167827</v>
      </c>
      <c r="E13" s="10">
        <v>38449</v>
      </c>
      <c r="F13" s="10">
        <v>42351</v>
      </c>
      <c r="G13" s="10">
        <v>108310</v>
      </c>
      <c r="H13" s="10">
        <v>141514</v>
      </c>
      <c r="I13" s="10">
        <v>366</v>
      </c>
      <c r="J13" s="10">
        <v>89139</v>
      </c>
      <c r="K13" s="10">
        <v>0</v>
      </c>
      <c r="L13" s="3">
        <f t="shared" si="0"/>
        <v>27.169749989400344</v>
      </c>
      <c r="M13" s="3">
        <f t="shared" si="1"/>
        <v>43.133757390143487</v>
      </c>
      <c r="N13" s="3">
        <f t="shared" si="2"/>
        <v>2.5574366602913745</v>
      </c>
      <c r="O13" s="5">
        <v>0</v>
      </c>
      <c r="P13" s="12">
        <v>104.75</v>
      </c>
      <c r="Q13" s="12">
        <v>36.9</v>
      </c>
      <c r="R13" s="12">
        <v>23.81</v>
      </c>
    </row>
    <row r="29" spans="2:6" x14ac:dyDescent="0.45">
      <c r="B29" s="2"/>
      <c r="C29" s="2"/>
      <c r="D29" s="2"/>
      <c r="F29" s="1"/>
    </row>
    <row r="30" spans="2:6" x14ac:dyDescent="0.45">
      <c r="B30" s="2"/>
      <c r="C30" s="2"/>
      <c r="D30" s="2"/>
      <c r="F30" s="1"/>
    </row>
    <row r="31" spans="2:6" x14ac:dyDescent="0.45">
      <c r="B31" s="7"/>
      <c r="C31" s="7"/>
      <c r="D31" s="7"/>
      <c r="F31" s="1"/>
    </row>
    <row r="32" spans="2:6" x14ac:dyDescent="0.45">
      <c r="B32" s="7"/>
      <c r="C32" s="7"/>
      <c r="D32" s="7"/>
      <c r="F32" s="1"/>
    </row>
    <row r="33" spans="2:6" x14ac:dyDescent="0.45">
      <c r="B33" s="8"/>
      <c r="C33" s="8"/>
      <c r="D33" s="8"/>
      <c r="F33" s="1"/>
    </row>
    <row r="34" spans="2:6" x14ac:dyDescent="0.45">
      <c r="B34" s="8"/>
      <c r="C34" s="8"/>
      <c r="D34" s="8"/>
      <c r="F34" s="1"/>
    </row>
    <row r="35" spans="2:6" x14ac:dyDescent="0.45">
      <c r="B35" s="7"/>
      <c r="C35" s="7"/>
      <c r="D35" s="7"/>
      <c r="F35" s="1"/>
    </row>
    <row r="36" spans="2:6" x14ac:dyDescent="0.45">
      <c r="B36" s="7"/>
      <c r="C36" s="7"/>
      <c r="D36" s="7"/>
      <c r="F36" s="1"/>
    </row>
    <row r="37" spans="2:6" x14ac:dyDescent="0.45">
      <c r="B37" s="4"/>
      <c r="C37" s="4"/>
      <c r="D37" s="4"/>
      <c r="F37" s="1"/>
    </row>
    <row r="38" spans="2:6" x14ac:dyDescent="0.45">
      <c r="B38" s="4"/>
      <c r="C38" s="4"/>
      <c r="D38" s="4"/>
      <c r="F38" s="1"/>
    </row>
    <row r="39" spans="2:6" x14ac:dyDescent="0.45">
      <c r="B39" s="4"/>
      <c r="C39" s="4"/>
      <c r="D39" s="4"/>
      <c r="F39" s="1"/>
    </row>
    <row r="40" spans="2:6" x14ac:dyDescent="0.45">
      <c r="B40" s="5"/>
      <c r="C40" s="5"/>
      <c r="D40" s="5"/>
      <c r="F40" s="1"/>
    </row>
    <row r="41" spans="2:6" x14ac:dyDescent="0.45">
      <c r="B41" s="5"/>
      <c r="C41" s="5"/>
      <c r="D41" s="5"/>
      <c r="F41" s="1"/>
    </row>
    <row r="42" spans="2:6" x14ac:dyDescent="0.45">
      <c r="B42" s="5"/>
      <c r="C42" s="5"/>
      <c r="D42" s="5"/>
      <c r="F42" s="1"/>
    </row>
    <row r="43" spans="2:6" x14ac:dyDescent="0.45">
      <c r="B43" s="6"/>
      <c r="C43" s="6"/>
      <c r="D43" s="6"/>
      <c r="F43" s="1"/>
    </row>
    <row r="44" spans="2:6" x14ac:dyDescent="0.45">
      <c r="F44" s="1"/>
    </row>
    <row r="45" spans="2:6" x14ac:dyDescent="0.45">
      <c r="F4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Dhampalwar</dc:creator>
  <cp:lastModifiedBy>Sagar Dhampalwar</cp:lastModifiedBy>
  <dcterms:created xsi:type="dcterms:W3CDTF">2026-05-07T08:46:35Z</dcterms:created>
  <dcterms:modified xsi:type="dcterms:W3CDTF">2026-05-09T09:35:19Z</dcterms:modified>
</cp:coreProperties>
</file>